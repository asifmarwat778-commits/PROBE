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HIT Research\Research Paper 1\Updated paper\Paper for JHM\"/>
    </mc:Choice>
  </mc:AlternateContent>
  <xr:revisionPtr revIDLastSave="0" documentId="8_{E2CA21C5-0D3C-4A77-A750-81B471C1737B}" xr6:coauthVersionLast="36" xr6:coauthVersionMax="36" xr10:uidLastSave="{00000000-0000-0000-0000-000000000000}"/>
  <bookViews>
    <workbookView xWindow="0" yWindow="0" windowWidth="23040" windowHeight="8940" firstSheet="1" activeTab="3" xr2:uid="{00000000-000D-0000-FFFF-FFFF00000000}"/>
  </bookViews>
  <sheets>
    <sheet name="Radicals Concentration Model" sheetId="4" r:id="rId1"/>
    <sheet name="UV.HOCl" sheetId="7" r:id="rId2"/>
    <sheet name="Concnetration via  UVFe(III)" sheetId="6" r:id="rId3"/>
    <sheet name="Proportion model " sheetId="5" r:id="rId4"/>
  </sheets>
  <definedNames>
    <definedName name="solver_adj" localSheetId="0" hidden="1">'Radicals Concentration Model'!$K$19:$K$23</definedName>
    <definedName name="solver_cvg" localSheetId="0" hidden="1">0.0001</definedName>
    <definedName name="solver_drv" localSheetId="0" hidden="1">1</definedName>
    <definedName name="solver_eng" localSheetId="2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'Radicals Concentration Model'!$J$6:$J$10</definedName>
    <definedName name="solver_lhs2" localSheetId="0" hidden="1">'Radicals Concentration Model'!$K$19:$K$23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2" hidden="1">1</definedName>
    <definedName name="solver_neg" localSheetId="0" hidden="1">1</definedName>
    <definedName name="solver_nod" localSheetId="0" hidden="1">2147483647</definedName>
    <definedName name="solver_num" localSheetId="2" hidden="1">0</definedName>
    <definedName name="solver_num" localSheetId="0" hidden="1">2</definedName>
    <definedName name="solver_nwt" localSheetId="0" hidden="1">1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hs1" localSheetId="0" hidden="1">0</definedName>
    <definedName name="solver_rhs2" localSheetId="0" hidden="1">0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2" hidden="1">1</definedName>
    <definedName name="solver_typ" localSheetId="0" hidden="1">2</definedName>
    <definedName name="solver_val" localSheetId="2" hidden="1">0</definedName>
    <definedName name="solver_val" localSheetId="0" hidden="1">0</definedName>
    <definedName name="solver_ver" localSheetId="2" hidden="1">3</definedName>
    <definedName name="solver_ver" localSheetId="0" hidden="1">3</definedName>
  </definedNames>
  <calcPr calcId="191029"/>
</workbook>
</file>

<file path=xl/calcChain.xml><?xml version="1.0" encoding="utf-8"?>
<calcChain xmlns="http://schemas.openxmlformats.org/spreadsheetml/2006/main">
  <c r="D15" i="5" l="1"/>
  <c r="F15" i="5"/>
  <c r="E15" i="5"/>
  <c r="F12" i="5"/>
  <c r="F13" i="5"/>
  <c r="F14" i="5"/>
  <c r="F11" i="5"/>
  <c r="E12" i="5"/>
  <c r="E13" i="5"/>
  <c r="E14" i="5"/>
  <c r="E11" i="5"/>
  <c r="D12" i="5"/>
  <c r="D13" i="5"/>
  <c r="D14" i="5"/>
  <c r="D11" i="5"/>
  <c r="C12" i="5"/>
  <c r="C13" i="5"/>
  <c r="C14" i="5"/>
  <c r="C15" i="5"/>
  <c r="C11" i="5"/>
  <c r="E16" i="5" l="1"/>
  <c r="E22" i="5" s="1"/>
  <c r="D16" i="5"/>
  <c r="D20" i="5" s="1"/>
  <c r="C16" i="5"/>
  <c r="F16" i="5"/>
  <c r="B12" i="5"/>
  <c r="B13" i="5"/>
  <c r="B14" i="5"/>
  <c r="B15" i="5"/>
  <c r="B11" i="5"/>
  <c r="E23" i="5" l="1"/>
  <c r="E19" i="5"/>
  <c r="E20" i="5"/>
  <c r="D23" i="5"/>
  <c r="E21" i="5"/>
  <c r="D19" i="5"/>
  <c r="D21" i="5"/>
  <c r="D22" i="5"/>
  <c r="F23" i="5"/>
  <c r="F21" i="5"/>
  <c r="F22" i="5"/>
  <c r="F19" i="5"/>
  <c r="C21" i="5"/>
  <c r="C22" i="5"/>
  <c r="C23" i="5"/>
  <c r="F20" i="5"/>
  <c r="C19" i="5"/>
  <c r="C20" i="5"/>
  <c r="D17" i="6" a="1"/>
  <c r="E17" i="6" s="1"/>
  <c r="B27" i="4" a="1"/>
  <c r="B27" i="4" s="1"/>
  <c r="B9" i="7" a="1"/>
  <c r="F10" i="7" s="1"/>
  <c r="E10" i="7" l="1"/>
  <c r="D10" i="7"/>
  <c r="C10" i="7"/>
  <c r="B10" i="7"/>
  <c r="F9" i="7"/>
  <c r="E9" i="7"/>
  <c r="D9" i="7"/>
  <c r="C9" i="7"/>
  <c r="B9" i="7"/>
  <c r="B22" i="7" s="1" a="1"/>
  <c r="B23" i="7" s="1"/>
  <c r="E11" i="7"/>
  <c r="D11" i="7"/>
  <c r="C11" i="7"/>
  <c r="B11" i="7"/>
  <c r="F11" i="7"/>
  <c r="D17" i="6"/>
  <c r="B29" i="4"/>
  <c r="F29" i="4"/>
  <c r="E29" i="4"/>
  <c r="F28" i="4"/>
  <c r="F31" i="4"/>
  <c r="D28" i="4"/>
  <c r="C28" i="4"/>
  <c r="B28" i="4"/>
  <c r="F27" i="4"/>
  <c r="E27" i="4"/>
  <c r="D27" i="4"/>
  <c r="D30" i="4"/>
  <c r="C27" i="4"/>
  <c r="B30" i="4"/>
  <c r="D29" i="4"/>
  <c r="C29" i="4"/>
  <c r="E28" i="4"/>
  <c r="E31" i="4"/>
  <c r="D31" i="4"/>
  <c r="C31" i="4"/>
  <c r="B31" i="4"/>
  <c r="F30" i="4"/>
  <c r="E30" i="4"/>
  <c r="C30" i="4"/>
  <c r="K19" i="4" l="1" a="1"/>
  <c r="K19" i="4" s="1"/>
  <c r="B24" i="7"/>
  <c r="B22" i="7"/>
  <c r="B16" i="5"/>
  <c r="B19" i="5" s="1"/>
  <c r="K20" i="4" l="1"/>
  <c r="K21" i="4"/>
  <c r="K22" i="4"/>
  <c r="K23" i="4"/>
  <c r="B23" i="5"/>
  <c r="B22" i="5"/>
  <c r="B20" i="5"/>
  <c r="B21" i="5"/>
</calcChain>
</file>

<file path=xl/sharedStrings.xml><?xml version="1.0" encoding="utf-8"?>
<sst xmlns="http://schemas.openxmlformats.org/spreadsheetml/2006/main" count="104" uniqueCount="49">
  <si>
    <t>NB</t>
  </si>
  <si>
    <t>BA</t>
  </si>
  <si>
    <t>Cl•</t>
  </si>
  <si>
    <t>PMSO</t>
  </si>
  <si>
    <t>1,4 DMOB</t>
  </si>
  <si>
    <t>CBZ</t>
  </si>
  <si>
    <t>A</t>
  </si>
  <si>
    <t>B</t>
  </si>
  <si>
    <t>X</t>
  </si>
  <si>
    <t>[ClO•]</t>
  </si>
  <si>
    <t>[Cl2•-]</t>
  </si>
  <si>
    <t>[Fe(IV)]</t>
  </si>
  <si>
    <t>A=BX</t>
  </si>
  <si>
    <r>
      <t>Insert pseudo-first-order rates of probes (s</t>
    </r>
    <r>
      <rPr>
        <vertAlign val="superscript"/>
        <sz val="20"/>
        <color theme="1"/>
        <rFont val="Times New Roman"/>
        <family val="1"/>
      </rPr>
      <t>-1</t>
    </r>
    <r>
      <rPr>
        <sz val="20"/>
        <color theme="1"/>
        <rFont val="Times New Roman"/>
        <family val="1"/>
      </rPr>
      <t>) obtained during different treatment processes and coditions in the red area</t>
    </r>
  </si>
  <si>
    <t>•OH</t>
  </si>
  <si>
    <t>ClO•</t>
  </si>
  <si>
    <t>Cl2-•</t>
  </si>
  <si>
    <t>Fe(IV)</t>
  </si>
  <si>
    <t>You will get Radicals Contribution in probe degradation  here in red area</t>
  </si>
  <si>
    <t>Sum</t>
  </si>
  <si>
    <t>[•OH]</t>
  </si>
  <si>
    <t>[Cl•]</t>
  </si>
  <si>
    <t>Probes</t>
  </si>
  <si>
    <t xml:space="preserve"> UV/Fe(III</t>
  </si>
  <si>
    <t>Write kobs (sec-1) values of probes here in blue area</t>
  </si>
  <si>
    <t>Radical Concentrations</t>
  </si>
  <si>
    <t>Write the reaction rate of radicals with Probes in Green area</t>
  </si>
  <si>
    <t xml:space="preserve">NB </t>
  </si>
  <si>
    <r>
      <t>X=B</t>
    </r>
    <r>
      <rPr>
        <vertAlign val="superscript"/>
        <sz val="20"/>
        <color theme="1"/>
        <rFont val="Times New Roman"/>
        <family val="1"/>
      </rPr>
      <t>-1</t>
    </r>
    <r>
      <rPr>
        <sz val="20"/>
        <color theme="1"/>
        <rFont val="Times New Roman"/>
        <family val="1"/>
      </rPr>
      <t>A</t>
    </r>
  </si>
  <si>
    <r>
      <t>k</t>
    </r>
    <r>
      <rPr>
        <b/>
        <vertAlign val="subscript"/>
        <sz val="20"/>
        <color theme="1"/>
        <rFont val="Times New Roman"/>
        <family val="1"/>
      </rPr>
      <t>obs</t>
    </r>
    <r>
      <rPr>
        <b/>
        <sz val="20"/>
        <color theme="1"/>
        <rFont val="Times New Roman"/>
        <family val="1"/>
      </rPr>
      <t xml:space="preserve"> (s</t>
    </r>
    <r>
      <rPr>
        <b/>
        <vertAlign val="superscript"/>
        <sz val="20"/>
        <color theme="1"/>
        <rFont val="Times New Roman"/>
        <family val="1"/>
      </rPr>
      <t>-1</t>
    </r>
    <r>
      <rPr>
        <b/>
        <sz val="20"/>
        <color theme="1"/>
        <rFont val="Times New Roman"/>
        <family val="1"/>
      </rPr>
      <t>)</t>
    </r>
  </si>
  <si>
    <r>
      <t>[Radical]</t>
    </r>
    <r>
      <rPr>
        <vertAlign val="subscript"/>
        <sz val="20"/>
        <color theme="1"/>
        <rFont val="Times New Roman"/>
        <family val="1"/>
      </rPr>
      <t>ss</t>
    </r>
    <r>
      <rPr>
        <sz val="20"/>
        <color theme="1"/>
        <rFont val="Times New Roman"/>
        <family val="1"/>
      </rPr>
      <t xml:space="preserve"> (M)</t>
    </r>
  </si>
  <si>
    <r>
      <t>calculation of Inverse of matrix (B</t>
    </r>
    <r>
      <rPr>
        <vertAlign val="superscript"/>
        <sz val="20"/>
        <color theme="1"/>
        <rFont val="Times New Roman"/>
        <family val="1"/>
      </rPr>
      <t>-1</t>
    </r>
    <r>
      <rPr>
        <sz val="20"/>
        <color theme="1"/>
        <rFont val="Times New Roman"/>
        <family val="1"/>
      </rPr>
      <t>)</t>
    </r>
  </si>
  <si>
    <t>1,4 DMOB,</t>
  </si>
  <si>
    <t>PMSo</t>
  </si>
  <si>
    <t>•OH contribution in kobs</t>
  </si>
  <si>
    <t>•Cl contribution in  kobs</t>
  </si>
  <si>
    <t>ClO• contribution in  kobs</t>
  </si>
  <si>
    <t>Cl2-• contribution in  kobs</t>
  </si>
  <si>
    <t>Fe (IV) contribution in  kobs</t>
  </si>
  <si>
    <r>
      <t>Write the reaction rate M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s</t>
    </r>
    <r>
      <rPr>
        <vertAlign val="superscript"/>
        <sz val="12"/>
        <color theme="1"/>
        <rFont val="Times New Roman"/>
        <family val="1"/>
      </rPr>
      <t>-1</t>
    </r>
    <r>
      <rPr>
        <sz val="12"/>
        <color theme="1"/>
        <rFont val="Times New Roman"/>
        <family val="1"/>
      </rPr>
      <t xml:space="preserve"> of the radical with the probe in this green area</t>
    </r>
  </si>
  <si>
    <r>
      <t>Contributions of radicals in k</t>
    </r>
    <r>
      <rPr>
        <b/>
        <vertAlign val="subscript"/>
        <sz val="16"/>
        <color theme="1"/>
        <rFont val="Times New Roman"/>
        <family val="1"/>
      </rPr>
      <t>obs,probes</t>
    </r>
    <r>
      <rPr>
        <b/>
        <sz val="16"/>
        <color theme="1"/>
        <rFont val="Times New Roman"/>
        <family val="1"/>
      </rPr>
      <t xml:space="preserve"> values</t>
    </r>
  </si>
  <si>
    <t xml:space="preserve">Put Radicals concentration in this blue area </t>
  </si>
  <si>
    <t>Radicals Concentrations</t>
  </si>
  <si>
    <t>Reaction rate of radicals with Probes (Matrix A)</t>
  </si>
  <si>
    <t>Inverse of the (Matrix A)</t>
  </si>
  <si>
    <t>Results of [Radical]ss (M) will be displayed in the blue area</t>
  </si>
  <si>
    <t>Model to calculate the values of radicals concentration</t>
  </si>
  <si>
    <t>Write Reaction Rate of radicals with Probes in yellow area</t>
  </si>
  <si>
    <r>
      <t>Write k</t>
    </r>
    <r>
      <rPr>
        <b/>
        <vertAlign val="subscript"/>
        <sz val="12"/>
        <color theme="1"/>
        <rFont val="Times New Roman"/>
        <family val="1"/>
      </rPr>
      <t>obs</t>
    </r>
    <r>
      <rPr>
        <b/>
        <sz val="12"/>
        <color theme="1"/>
        <rFont val="Times New Roman"/>
        <family val="1"/>
      </rPr>
      <t xml:space="preserve"> (s</t>
    </r>
    <r>
      <rPr>
        <b/>
        <vertAlign val="superscript"/>
        <sz val="12"/>
        <color theme="1"/>
        <rFont val="Times New Roman"/>
        <family val="1"/>
      </rPr>
      <t>-1</t>
    </r>
    <r>
      <rPr>
        <b/>
        <sz val="12"/>
        <color theme="1"/>
        <rFont val="Times New Roman"/>
        <family val="1"/>
      </rPr>
      <t>) obtained during treatment in the green area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</si>
</sst>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charset val="134"/>
      <scheme val="minor"/>
    </font>
    <font>
      <sz val="14"/>
      <color theme="1"/>
      <name val="Times New Roman"/>
      <family val="1"/>
    </font>
    <font>
      <sz val="20"/>
      <color theme="1"/>
      <name val="Times New Roman"/>
      <family val="1"/>
    </font>
    <font>
      <vertAlign val="superscript"/>
      <sz val="2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indexed="8"/>
      <name val="Calibri"/>
      <family val="2"/>
    </font>
    <font>
      <b/>
      <sz val="20"/>
      <color theme="1"/>
      <name val="Times New Roman"/>
      <family val="1"/>
    </font>
    <font>
      <b/>
      <vertAlign val="subscript"/>
      <sz val="20"/>
      <color theme="1"/>
      <name val="Times New Roman"/>
      <family val="1"/>
    </font>
    <font>
      <b/>
      <vertAlign val="superscript"/>
      <sz val="20"/>
      <color theme="1"/>
      <name val="Times New Roman"/>
      <family val="1"/>
    </font>
    <font>
      <vertAlign val="subscript"/>
      <sz val="20"/>
      <color theme="1"/>
      <name val="Times New Roman"/>
      <family val="1"/>
    </font>
    <font>
      <sz val="20"/>
      <color theme="0"/>
      <name val="Times New Roman"/>
      <family val="1"/>
    </font>
    <font>
      <sz val="20"/>
      <color indexed="8"/>
      <name val="Times New Roman"/>
      <family val="1"/>
    </font>
    <font>
      <sz val="2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vertAlign val="subscript"/>
      <sz val="16"/>
      <color theme="1"/>
      <name val="Times New Roman"/>
      <family val="1"/>
    </font>
    <font>
      <sz val="14"/>
      <color indexed="8"/>
      <name val="Times New Roman"/>
      <family val="1"/>
    </font>
    <font>
      <sz val="16"/>
      <color indexed="8"/>
      <name val="Times New Roman"/>
      <family val="1"/>
    </font>
    <font>
      <b/>
      <sz val="26"/>
      <color theme="1"/>
      <name val="Times New Roman"/>
      <family val="1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/>
  </cellStyleXfs>
  <cellXfs count="58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5" fillId="0" borderId="0" xfId="0" applyFont="1">
      <alignment vertical="center"/>
    </xf>
    <xf numFmtId="0" fontId="5" fillId="3" borderId="0" xfId="0" applyFont="1" applyFill="1">
      <alignment vertical="center"/>
    </xf>
    <xf numFmtId="9" fontId="6" fillId="7" borderId="0" xfId="1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11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0" xfId="0" applyNumberFormat="1" applyFont="1" applyFill="1" applyBorder="1" applyAlignment="1" applyProtection="1"/>
    <xf numFmtId="0" fontId="1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15" fillId="0" borderId="0" xfId="0" applyNumberFormat="1" applyFont="1" applyFill="1" applyBorder="1" applyAlignment="1" applyProtection="1"/>
    <xf numFmtId="0" fontId="8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11" fontId="2" fillId="0" borderId="0" xfId="0" applyNumberFormat="1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/>
    </xf>
    <xf numFmtId="0" fontId="14" fillId="14" borderId="0" xfId="0" applyFont="1" applyFill="1">
      <alignment vertical="center"/>
    </xf>
    <xf numFmtId="0" fontId="22" fillId="7" borderId="0" xfId="0" applyNumberFormat="1" applyFont="1" applyFill="1" applyBorder="1" applyAlignment="1" applyProtection="1"/>
    <xf numFmtId="0" fontId="15" fillId="3" borderId="0" xfId="0" applyNumberFormat="1" applyFont="1" applyFill="1" applyBorder="1" applyAlignment="1" applyProtection="1"/>
    <xf numFmtId="0" fontId="2" fillId="3" borderId="0" xfId="0" applyFont="1" applyFill="1">
      <alignment vertical="center"/>
    </xf>
    <xf numFmtId="0" fontId="2" fillId="15" borderId="0" xfId="0" applyFont="1" applyFill="1" applyAlignment="1">
      <alignment horizontal="center"/>
    </xf>
    <xf numFmtId="0" fontId="7" fillId="0" borderId="0" xfId="0" applyFont="1">
      <alignment vertical="center"/>
    </xf>
    <xf numFmtId="0" fontId="24" fillId="2" borderId="0" xfId="0" applyFont="1" applyFill="1" applyAlignment="1">
      <alignment vertical="center"/>
    </xf>
    <xf numFmtId="0" fontId="7" fillId="0" borderId="0" xfId="0" applyFont="1" applyAlignment="1"/>
    <xf numFmtId="0" fontId="27" fillId="0" borderId="0" xfId="0" applyNumberFormat="1" applyFont="1" applyFill="1" applyBorder="1" applyAlignment="1" applyProtection="1"/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16" borderId="0" xfId="0" applyFont="1" applyFill="1" applyAlignment="1"/>
    <xf numFmtId="0" fontId="28" fillId="0" borderId="0" xfId="0" applyFont="1">
      <alignment vertical="center"/>
    </xf>
    <xf numFmtId="0" fontId="19" fillId="10" borderId="0" xfId="0" applyFont="1" applyFill="1" applyAlignment="1">
      <alignment horizontal="center" vertical="center"/>
    </xf>
    <xf numFmtId="0" fontId="21" fillId="14" borderId="0" xfId="0" applyNumberFormat="1" applyFont="1" applyFill="1" applyBorder="1" applyAlignment="1" applyProtection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B34F-2CF9-48FD-B71E-5CF042F350B1}">
  <dimension ref="A1:O34"/>
  <sheetViews>
    <sheetView zoomScale="50" zoomScaleNormal="70" workbookViewId="0">
      <selection activeCell="I17" sqref="I17:O17"/>
    </sheetView>
  </sheetViews>
  <sheetFormatPr defaultRowHeight="25.2"/>
  <cols>
    <col min="1" max="1" width="19" style="12" bestFit="1" customWidth="1"/>
    <col min="2" max="6" width="26.33203125" style="12" bestFit="1" customWidth="1"/>
    <col min="7" max="7" width="14.109375" style="12" bestFit="1" customWidth="1"/>
    <col min="8" max="8" width="8.88671875" style="12"/>
    <col min="9" max="9" width="6.88671875" style="12" bestFit="1" customWidth="1"/>
    <col min="10" max="10" width="10.33203125" style="12" bestFit="1" customWidth="1"/>
    <col min="11" max="11" width="24.77734375" style="12" bestFit="1" customWidth="1"/>
    <col min="12" max="12" width="14.109375" style="12" bestFit="1" customWidth="1"/>
    <col min="13" max="13" width="11.88671875" style="12" bestFit="1" customWidth="1"/>
    <col min="14" max="14" width="15.109375" style="12" customWidth="1"/>
    <col min="15" max="15" width="16.109375" style="12" bestFit="1" customWidth="1"/>
    <col min="16" max="16" width="15.21875" style="12" bestFit="1" customWidth="1"/>
    <col min="17" max="16384" width="8.88671875" style="12"/>
  </cols>
  <sheetData>
    <row r="1" spans="1:13" ht="31.8">
      <c r="A1" s="42" t="s">
        <v>46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11"/>
    </row>
    <row r="3" spans="1:13">
      <c r="C3" s="13"/>
    </row>
    <row r="4" spans="1:13">
      <c r="B4" s="47" t="s">
        <v>47</v>
      </c>
      <c r="C4" s="47"/>
      <c r="D4" s="47"/>
      <c r="E4" s="47"/>
      <c r="F4" s="47"/>
    </row>
    <row r="5" spans="1:13">
      <c r="B5" s="13" t="s">
        <v>14</v>
      </c>
      <c r="C5" s="13" t="s">
        <v>2</v>
      </c>
      <c r="D5" s="13" t="s">
        <v>15</v>
      </c>
      <c r="E5" s="13" t="s">
        <v>16</v>
      </c>
      <c r="F5" s="13" t="s">
        <v>17</v>
      </c>
    </row>
    <row r="6" spans="1:13">
      <c r="A6" s="23" t="s">
        <v>27</v>
      </c>
      <c r="B6" s="45">
        <v>3900000000</v>
      </c>
      <c r="C6" s="45">
        <v>475560000</v>
      </c>
      <c r="D6" s="45">
        <v>0</v>
      </c>
      <c r="E6" s="45">
        <v>0</v>
      </c>
      <c r="F6" s="46">
        <v>0</v>
      </c>
      <c r="G6" s="14" t="s">
        <v>20</v>
      </c>
    </row>
    <row r="7" spans="1:13">
      <c r="A7" s="23" t="s">
        <v>1</v>
      </c>
      <c r="B7" s="45">
        <v>5950230000</v>
      </c>
      <c r="C7" s="45">
        <v>18000000000</v>
      </c>
      <c r="D7" s="45">
        <v>20370000</v>
      </c>
      <c r="E7" s="45">
        <v>1303400</v>
      </c>
      <c r="F7" s="45">
        <v>0</v>
      </c>
      <c r="G7" s="14" t="s">
        <v>21</v>
      </c>
    </row>
    <row r="8" spans="1:13">
      <c r="A8" s="23" t="s">
        <v>4</v>
      </c>
      <c r="B8" s="45">
        <v>15451557264</v>
      </c>
      <c r="C8" s="45">
        <v>9944820000</v>
      </c>
      <c r="D8" s="45">
        <v>2100000000</v>
      </c>
      <c r="E8" s="45">
        <v>2428200</v>
      </c>
      <c r="F8" s="45">
        <v>0</v>
      </c>
      <c r="G8" s="14" t="s">
        <v>9</v>
      </c>
    </row>
    <row r="9" spans="1:13">
      <c r="A9" s="23" t="s">
        <v>5</v>
      </c>
      <c r="B9" s="45">
        <v>5141660195.1686401</v>
      </c>
      <c r="C9" s="45">
        <v>2044800000</v>
      </c>
      <c r="D9" s="45">
        <v>0</v>
      </c>
      <c r="E9" s="45">
        <v>1877200</v>
      </c>
      <c r="F9" s="45">
        <v>0</v>
      </c>
      <c r="G9" s="14" t="s">
        <v>10</v>
      </c>
    </row>
    <row r="10" spans="1:13">
      <c r="A10" s="23" t="s">
        <v>3</v>
      </c>
      <c r="B10" s="45">
        <v>5270201700.0478601</v>
      </c>
      <c r="C10" s="45">
        <v>12105000000</v>
      </c>
      <c r="D10" s="45">
        <v>1451247000</v>
      </c>
      <c r="E10" s="45">
        <v>180002200</v>
      </c>
      <c r="F10" s="45">
        <v>1648261</v>
      </c>
      <c r="G10" s="14" t="s">
        <v>11</v>
      </c>
    </row>
    <row r="11" spans="1:13" ht="28.8" customHeight="1"/>
    <row r="12" spans="1:13">
      <c r="A12" s="15" t="s">
        <v>6</v>
      </c>
      <c r="B12" s="35" t="s">
        <v>7</v>
      </c>
      <c r="C12" s="35"/>
      <c r="D12" s="35"/>
      <c r="E12" s="35"/>
      <c r="F12" s="35"/>
      <c r="G12" s="16" t="s">
        <v>8</v>
      </c>
    </row>
    <row r="13" spans="1:13">
      <c r="D13" s="13" t="s">
        <v>12</v>
      </c>
    </row>
    <row r="14" spans="1:13" ht="29.4">
      <c r="D14" s="13" t="s">
        <v>28</v>
      </c>
    </row>
    <row r="15" spans="1:13" ht="29.4" customHeight="1">
      <c r="A15" s="32" t="s">
        <v>13</v>
      </c>
      <c r="B15" s="32"/>
      <c r="C15" s="32"/>
      <c r="D15" s="32"/>
      <c r="E15" s="32"/>
      <c r="K15" s="20"/>
      <c r="L15" s="20"/>
      <c r="M15" s="20"/>
    </row>
    <row r="16" spans="1:13" ht="32.4" customHeight="1">
      <c r="A16" s="32"/>
      <c r="B16" s="32"/>
      <c r="C16" s="32"/>
      <c r="D16" s="32"/>
      <c r="E16" s="32"/>
      <c r="F16" s="22"/>
      <c r="K16" s="20"/>
      <c r="L16" s="20"/>
      <c r="M16" s="20"/>
    </row>
    <row r="17" spans="1:15" ht="29.4">
      <c r="B17" s="17" t="s">
        <v>29</v>
      </c>
      <c r="E17" s="34"/>
      <c r="F17" s="34"/>
      <c r="I17" s="34" t="s">
        <v>45</v>
      </c>
      <c r="J17" s="34"/>
      <c r="K17" s="34"/>
      <c r="L17" s="34"/>
      <c r="M17" s="34"/>
      <c r="N17" s="34"/>
      <c r="O17" s="34"/>
    </row>
    <row r="18" spans="1:15" ht="29.4" thickBot="1">
      <c r="A18" s="18" t="s">
        <v>27</v>
      </c>
      <c r="B18" s="44"/>
      <c r="C18" s="30"/>
      <c r="E18" s="19"/>
      <c r="K18" s="20" t="s">
        <v>30</v>
      </c>
      <c r="L18" s="20"/>
      <c r="M18" s="21"/>
      <c r="N18" s="21"/>
      <c r="O18" s="21"/>
    </row>
    <row r="19" spans="1:15" ht="25.8" thickBot="1">
      <c r="A19" s="18" t="s">
        <v>1</v>
      </c>
      <c r="B19" s="44"/>
      <c r="C19" s="30"/>
      <c r="E19" s="19"/>
      <c r="K19" s="43" t="e">
        <f t="array" ref="K19:K23">MMULT(B27:F31,B18:B22)</f>
        <v>#VALUE!</v>
      </c>
      <c r="L19" s="14" t="s">
        <v>20</v>
      </c>
      <c r="N19" s="19"/>
      <c r="O19" s="19"/>
    </row>
    <row r="20" spans="1:15" ht="25.8" thickBot="1">
      <c r="A20" s="18" t="s">
        <v>4</v>
      </c>
      <c r="B20" s="44"/>
      <c r="C20" s="30"/>
      <c r="E20" s="19"/>
      <c r="K20" s="43" t="e">
        <v>#VALUE!</v>
      </c>
      <c r="L20" s="14" t="s">
        <v>21</v>
      </c>
      <c r="N20" s="19"/>
      <c r="O20" s="19"/>
    </row>
    <row r="21" spans="1:15" ht="25.8" thickBot="1">
      <c r="A21" s="18" t="s">
        <v>5</v>
      </c>
      <c r="B21" s="44"/>
      <c r="C21" s="30"/>
      <c r="E21" s="19"/>
      <c r="K21" s="43" t="e">
        <v>#VALUE!</v>
      </c>
      <c r="L21" s="14" t="s">
        <v>9</v>
      </c>
      <c r="N21" s="19"/>
      <c r="O21" s="19"/>
    </row>
    <row r="22" spans="1:15" ht="25.8" thickBot="1">
      <c r="A22" s="18" t="s">
        <v>3</v>
      </c>
      <c r="B22" s="44"/>
      <c r="C22" s="30"/>
      <c r="E22" s="19"/>
      <c r="K22" s="43" t="e">
        <v>#VALUE!</v>
      </c>
      <c r="L22" s="14" t="s">
        <v>10</v>
      </c>
      <c r="N22" s="19"/>
      <c r="O22" s="19"/>
    </row>
    <row r="23" spans="1:15">
      <c r="K23" s="43" t="e">
        <v>#VALUE!</v>
      </c>
      <c r="L23" s="14" t="s">
        <v>11</v>
      </c>
    </row>
    <row r="26" spans="1:15" ht="22.8" customHeight="1">
      <c r="A26" s="13"/>
      <c r="B26" s="33" t="s">
        <v>31</v>
      </c>
      <c r="C26" s="33"/>
      <c r="D26" s="33"/>
      <c r="E26" s="33"/>
      <c r="F26" s="33"/>
    </row>
    <row r="27" spans="1:15">
      <c r="B27" s="12">
        <f t="array" ref="B27:F31">MINVERSE(B6:F10)</f>
        <v>2.6083126826802286E-10</v>
      </c>
      <c r="C27" s="12">
        <v>-7.5133412037801716E-12</v>
      </c>
      <c r="D27" s="12">
        <v>7.2879409676684607E-14</v>
      </c>
      <c r="E27" s="12">
        <v>5.1224819637925409E-12</v>
      </c>
      <c r="F27" s="12">
        <v>5.1990561839387357E-27</v>
      </c>
    </row>
    <row r="28" spans="1:15">
      <c r="B28" s="12">
        <v>-3.6256090178495027E-11</v>
      </c>
      <c r="C28" s="12">
        <v>6.1615843836198665E-11</v>
      </c>
      <c r="D28" s="12">
        <v>-5.9767368521113139E-13</v>
      </c>
      <c r="E28" s="12">
        <v>-4.2008746864304632E-11</v>
      </c>
      <c r="F28" s="12">
        <v>9.6238169014284497E-28</v>
      </c>
    </row>
    <row r="29" spans="1:15">
      <c r="B29" s="12">
        <v>-9.6706475726234203E-10</v>
      </c>
      <c r="C29" s="12">
        <v>-1.8269629359783003E-10</v>
      </c>
      <c r="D29" s="12">
        <v>4.7796263023837505E-10</v>
      </c>
      <c r="E29" s="12">
        <v>-4.9140342513819751E-10</v>
      </c>
      <c r="F29" s="12">
        <v>0</v>
      </c>
    </row>
    <row r="30" spans="1:15">
      <c r="B30" s="12">
        <v>-6.74925046085694E-7</v>
      </c>
      <c r="C30" s="12">
        <v>-4.6537944851940562E-8</v>
      </c>
      <c r="D30" s="12">
        <v>4.514180650637827E-10</v>
      </c>
      <c r="E30" s="12">
        <v>5.6443715319328777E-7</v>
      </c>
      <c r="F30" s="12">
        <v>-3.7025050253129506E-23</v>
      </c>
    </row>
    <row r="31" spans="1:15">
      <c r="B31" s="12">
        <v>7.3990520637488797E-5</v>
      </c>
      <c r="C31" s="12">
        <v>4.8146543167441097E-6</v>
      </c>
      <c r="D31" s="12">
        <v>-4.6597433738107683E-7</v>
      </c>
      <c r="E31" s="12">
        <v>-6.0915875715295657E-5</v>
      </c>
      <c r="F31" s="12">
        <v>6.0670003112371568E-7</v>
      </c>
    </row>
    <row r="33" spans="2:6">
      <c r="B33" s="31"/>
      <c r="C33" s="31"/>
      <c r="D33" s="31"/>
      <c r="E33" s="31"/>
      <c r="F33" s="31"/>
    </row>
    <row r="34" spans="2:6" ht="52.2" customHeight="1"/>
  </sheetData>
  <mergeCells count="7">
    <mergeCell ref="A1:K1"/>
    <mergeCell ref="I17:O17"/>
    <mergeCell ref="B4:F4"/>
    <mergeCell ref="B26:F26"/>
    <mergeCell ref="E17:F17"/>
    <mergeCell ref="B12:F12"/>
    <mergeCell ref="A15:E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6811-F18E-4A3A-A6F2-F43F84E82DBC}">
  <dimension ref="A1:F24"/>
  <sheetViews>
    <sheetView zoomScale="85" zoomScaleNormal="85" workbookViewId="0">
      <selection activeCell="C16" sqref="C16"/>
    </sheetView>
  </sheetViews>
  <sheetFormatPr defaultRowHeight="15.6"/>
  <cols>
    <col min="1" max="1" width="12.88671875" style="48" bestFit="1" customWidth="1"/>
    <col min="2" max="2" width="20.6640625" style="48" bestFit="1" customWidth="1"/>
    <col min="3" max="6" width="15.21875" style="48" bestFit="1" customWidth="1"/>
    <col min="7" max="16384" width="8.88671875" style="48"/>
  </cols>
  <sheetData>
    <row r="1" spans="1:6">
      <c r="B1" s="40" t="s">
        <v>43</v>
      </c>
      <c r="C1" s="40"/>
      <c r="D1" s="40"/>
    </row>
    <row r="2" spans="1:6">
      <c r="B2" s="50" t="s">
        <v>14</v>
      </c>
      <c r="C2" s="50" t="s">
        <v>2</v>
      </c>
      <c r="D2" s="50" t="s">
        <v>16</v>
      </c>
      <c r="E2" s="51"/>
    </row>
    <row r="3" spans="1:6" ht="16.2" thickBot="1">
      <c r="A3" s="52" t="s">
        <v>27</v>
      </c>
      <c r="B3" s="51">
        <v>3900000000</v>
      </c>
      <c r="C3" s="51">
        <v>475560000</v>
      </c>
      <c r="D3" s="51">
        <v>0</v>
      </c>
      <c r="E3" s="51"/>
    </row>
    <row r="4" spans="1:6" ht="16.2" thickBot="1">
      <c r="A4" s="52" t="s">
        <v>1</v>
      </c>
      <c r="B4" s="51">
        <v>5950230000</v>
      </c>
      <c r="C4" s="51">
        <v>18000000000</v>
      </c>
      <c r="D4" s="51">
        <v>1303400</v>
      </c>
      <c r="E4" s="51"/>
    </row>
    <row r="5" spans="1:6" ht="16.2" thickBot="1">
      <c r="A5" s="52" t="s">
        <v>4</v>
      </c>
      <c r="B5" s="51">
        <v>15451557264</v>
      </c>
      <c r="C5" s="51">
        <v>9944820000</v>
      </c>
      <c r="D5" s="51">
        <v>2428200</v>
      </c>
    </row>
    <row r="6" spans="1:6" ht="16.2" thickBot="1">
      <c r="A6" s="52" t="s">
        <v>5</v>
      </c>
      <c r="B6" s="51">
        <v>5141660195.1686401</v>
      </c>
      <c r="C6" s="51">
        <v>2044800000</v>
      </c>
      <c r="D6" s="51">
        <v>1877200</v>
      </c>
    </row>
    <row r="7" spans="1:6" ht="16.2" thickBot="1">
      <c r="A7" s="52" t="s">
        <v>3</v>
      </c>
      <c r="B7" s="51">
        <v>5270201700.0478601</v>
      </c>
      <c r="C7" s="51">
        <v>12105000000</v>
      </c>
      <c r="D7" s="51">
        <v>180002200</v>
      </c>
    </row>
    <row r="8" spans="1:6">
      <c r="C8" s="53" t="s">
        <v>44</v>
      </c>
      <c r="D8" s="53"/>
      <c r="E8" s="53"/>
    </row>
    <row r="9" spans="1:6">
      <c r="B9" s="48">
        <f t="array" ref="B9:F11">MMULT(MINVERSE(MMULT(TRANSPOSE(B3:D7),B3:D7)),TRANSPOSE(B3:D7))</f>
        <v>2.5365778599894739E-11</v>
      </c>
      <c r="C9" s="48">
        <v>-3.8810180619931932E-11</v>
      </c>
      <c r="D9" s="48">
        <v>6.4494612944356137E-11</v>
      </c>
      <c r="E9" s="48">
        <v>2.7240633221008722E-11</v>
      </c>
      <c r="F9" s="48">
        <v>-8.7308236462634966E-13</v>
      </c>
    </row>
    <row r="10" spans="1:6">
      <c r="B10" s="51">
        <v>-1.5032936412419533E-11</v>
      </c>
      <c r="C10" s="51">
        <v>6.7338916121757785E-11</v>
      </c>
      <c r="D10" s="51">
        <v>-1.7838508263761148E-11</v>
      </c>
      <c r="E10" s="51">
        <v>-1.2801880074870907E-11</v>
      </c>
      <c r="F10" s="48">
        <v>-1.1345632570316582E-13</v>
      </c>
    </row>
    <row r="11" spans="1:6">
      <c r="B11" s="51">
        <v>2.4906334066939969E-10</v>
      </c>
      <c r="C11" s="51">
        <v>-3.3919219018835401E-9</v>
      </c>
      <c r="D11" s="51">
        <v>-6.9451069773762011E-10</v>
      </c>
      <c r="E11" s="51">
        <v>9.5402307640570807E-11</v>
      </c>
      <c r="F11" s="48">
        <v>5.5884225452314394E-9</v>
      </c>
    </row>
    <row r="12" spans="1:6">
      <c r="B12" s="51"/>
      <c r="C12" s="51"/>
      <c r="D12" s="51"/>
      <c r="E12" s="51"/>
    </row>
    <row r="14" spans="1:6" ht="18">
      <c r="A14" s="49" t="s">
        <v>48</v>
      </c>
      <c r="B14" s="49"/>
      <c r="C14" s="49"/>
      <c r="D14" s="49"/>
    </row>
    <row r="15" spans="1:6" ht="16.2" thickBot="1">
      <c r="A15" s="52" t="s">
        <v>27</v>
      </c>
      <c r="B15" s="54"/>
    </row>
    <row r="16" spans="1:6" ht="16.2" thickBot="1">
      <c r="A16" s="52" t="s">
        <v>1</v>
      </c>
      <c r="B16" s="54"/>
    </row>
    <row r="17" spans="1:2" ht="16.2" thickBot="1">
      <c r="A17" s="52" t="s">
        <v>4</v>
      </c>
      <c r="B17" s="54"/>
    </row>
    <row r="18" spans="1:2" ht="16.2" thickBot="1">
      <c r="A18" s="52" t="s">
        <v>5</v>
      </c>
      <c r="B18" s="54"/>
    </row>
    <row r="19" spans="1:2" ht="16.2" thickBot="1">
      <c r="A19" s="52" t="s">
        <v>3</v>
      </c>
      <c r="B19" s="54"/>
    </row>
    <row r="21" spans="1:2">
      <c r="B21" s="55" t="s">
        <v>42</v>
      </c>
    </row>
    <row r="22" spans="1:2">
      <c r="A22" s="50" t="s">
        <v>14</v>
      </c>
      <c r="B22" s="48" t="e">
        <f t="array" ref="B22:B24">MMULT(B9:F11,B15:B19)</f>
        <v>#VALUE!</v>
      </c>
    </row>
    <row r="23" spans="1:2">
      <c r="A23" s="50" t="s">
        <v>2</v>
      </c>
      <c r="B23" s="48" t="e">
        <v>#VALUE!</v>
      </c>
    </row>
    <row r="24" spans="1:2">
      <c r="A24" s="50" t="s">
        <v>16</v>
      </c>
      <c r="B24" s="48" t="e">
        <v>#VALUE!</v>
      </c>
    </row>
  </sheetData>
  <mergeCells count="2">
    <mergeCell ref="B1:D1"/>
    <mergeCell ref="C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FE7B-DB94-433E-86C6-27F129D87F7A}">
  <dimension ref="A2:G17"/>
  <sheetViews>
    <sheetView zoomScale="115" zoomScaleNormal="115" workbookViewId="0">
      <selection activeCell="F4" sqref="F4"/>
    </sheetView>
  </sheetViews>
  <sheetFormatPr defaultRowHeight="13.8"/>
  <cols>
    <col min="1" max="2" width="8.88671875" style="2"/>
    <col min="3" max="3" width="15.77734375" style="2" customWidth="1"/>
    <col min="4" max="4" width="33.6640625" style="2" customWidth="1"/>
    <col min="5" max="5" width="13.44140625" style="2" customWidth="1"/>
    <col min="6" max="6" width="36.21875" style="2" customWidth="1"/>
    <col min="7" max="7" width="8.88671875" style="2"/>
    <col min="8" max="8" width="12.6640625" style="2" bestFit="1" customWidth="1"/>
    <col min="9" max="9" width="12" style="2" bestFit="1" customWidth="1"/>
    <col min="10" max="16384" width="8.88671875" style="2"/>
  </cols>
  <sheetData>
    <row r="2" spans="1:7">
      <c r="D2" s="36" t="s">
        <v>23</v>
      </c>
      <c r="E2" s="36"/>
    </row>
    <row r="3" spans="1:7" ht="41.4" customHeight="1">
      <c r="C3" s="37" t="s">
        <v>26</v>
      </c>
      <c r="D3" s="37"/>
    </row>
    <row r="4" spans="1:7">
      <c r="A4" s="8" t="s">
        <v>22</v>
      </c>
      <c r="B4" s="8" t="s">
        <v>14</v>
      </c>
      <c r="D4" s="24"/>
      <c r="F4" s="6" t="s">
        <v>24</v>
      </c>
      <c r="G4" s="6"/>
    </row>
    <row r="5" spans="1:7">
      <c r="D5" s="9"/>
      <c r="F5" s="9"/>
    </row>
    <row r="6" spans="1:7" ht="14.4">
      <c r="A6" s="2" t="s">
        <v>27</v>
      </c>
      <c r="B6" s="10">
        <v>3900000000</v>
      </c>
      <c r="D6" s="9"/>
      <c r="F6" s="7">
        <v>7.2345345345999992E-5</v>
      </c>
    </row>
    <row r="7" spans="1:7" ht="14.4">
      <c r="A7" s="2" t="s">
        <v>1</v>
      </c>
      <c r="B7" s="10">
        <v>5950230000</v>
      </c>
      <c r="D7" s="9"/>
      <c r="F7" s="7">
        <v>7.4514352130000002E-5</v>
      </c>
    </row>
    <row r="8" spans="1:7" ht="14.4">
      <c r="A8" s="2" t="s">
        <v>4</v>
      </c>
      <c r="B8" s="10">
        <v>15451557264</v>
      </c>
      <c r="D8" s="9"/>
      <c r="F8" s="7">
        <v>1.0984768333333333E-4</v>
      </c>
    </row>
    <row r="9" spans="1:7" ht="14.4">
      <c r="A9" s="2" t="s">
        <v>5</v>
      </c>
      <c r="B9" s="10">
        <v>5141660195.1686401</v>
      </c>
      <c r="D9" s="9"/>
      <c r="F9" s="7">
        <v>1.0905210201266665E-3</v>
      </c>
    </row>
    <row r="10" spans="1:7" ht="14.4">
      <c r="A10" s="2" t="s">
        <v>3</v>
      </c>
      <c r="B10" s="10">
        <v>5270201700.0478601</v>
      </c>
      <c r="F10" s="7">
        <v>9.7678743743333327E-5</v>
      </c>
    </row>
    <row r="15" spans="1:7">
      <c r="D15" s="41" t="s">
        <v>25</v>
      </c>
      <c r="E15" s="41"/>
    </row>
    <row r="16" spans="1:7">
      <c r="D16" s="2" t="s">
        <v>14</v>
      </c>
    </row>
    <row r="17" spans="4:5">
      <c r="D17" s="5">
        <f t="array" ref="D17:E17">SUMPRODUCT(F6:F10,B6:B10)/SUMPRODUCT(B6:B10,B6:B10)</f>
        <v>2.4869835765834949E-14</v>
      </c>
      <c r="E17" s="5">
        <v>2.4869835765834949E-14</v>
      </c>
    </row>
  </sheetData>
  <mergeCells count="3">
    <mergeCell ref="D2:E2"/>
    <mergeCell ref="C3:D3"/>
    <mergeCell ref="D15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5414-8C34-4A82-B2CB-275C9F30DA2A}">
  <dimension ref="A1:O33"/>
  <sheetViews>
    <sheetView tabSelected="1" workbookViewId="0">
      <selection activeCell="J2" sqref="J2:J6"/>
    </sheetView>
  </sheetViews>
  <sheetFormatPr defaultRowHeight="13.8"/>
  <cols>
    <col min="1" max="1" width="26.77734375" style="2" customWidth="1"/>
    <col min="2" max="2" width="16.77734375" style="2" customWidth="1"/>
    <col min="3" max="3" width="12" style="2" bestFit="1" customWidth="1"/>
    <col min="4" max="4" width="11" style="2" bestFit="1" customWidth="1"/>
    <col min="5" max="6" width="12" style="2" bestFit="1" customWidth="1"/>
    <col min="7" max="8" width="8.88671875" style="2"/>
    <col min="9" max="9" width="11" style="2" bestFit="1" customWidth="1"/>
    <col min="10" max="10" width="12" style="2" bestFit="1" customWidth="1"/>
    <col min="11" max="11" width="16.88671875" style="2" bestFit="1" customWidth="1"/>
    <col min="12" max="12" width="11" style="2" bestFit="1" customWidth="1"/>
    <col min="13" max="16384" width="8.88671875" style="2"/>
  </cols>
  <sheetData>
    <row r="1" spans="1:14" ht="18.600000000000001">
      <c r="A1" s="40" t="s">
        <v>39</v>
      </c>
      <c r="B1" s="40"/>
      <c r="C1" s="40"/>
      <c r="D1" s="40"/>
      <c r="E1" s="40"/>
      <c r="F1" s="40"/>
      <c r="H1" s="39" t="s">
        <v>41</v>
      </c>
      <c r="I1" s="39"/>
      <c r="J1" s="39"/>
      <c r="K1" s="39"/>
    </row>
    <row r="2" spans="1:14" ht="14.4" customHeight="1">
      <c r="B2" s="2" t="s">
        <v>0</v>
      </c>
      <c r="C2" s="2" t="s">
        <v>1</v>
      </c>
      <c r="D2" s="2" t="s">
        <v>32</v>
      </c>
      <c r="E2" s="2" t="s">
        <v>5</v>
      </c>
      <c r="F2" s="2" t="s">
        <v>33</v>
      </c>
      <c r="G2" s="25"/>
      <c r="H2" s="29"/>
      <c r="I2" s="2" t="s">
        <v>14</v>
      </c>
      <c r="J2" s="57">
        <v>8.4423826037311354E-14</v>
      </c>
      <c r="K2" s="29"/>
      <c r="L2" s="6"/>
      <c r="M2" s="6"/>
    </row>
    <row r="3" spans="1:14" ht="18">
      <c r="A3" s="2" t="s">
        <v>14</v>
      </c>
      <c r="B3" s="10">
        <v>3900000000</v>
      </c>
      <c r="C3" s="2">
        <v>5950230000</v>
      </c>
      <c r="D3" s="2">
        <v>15451557264</v>
      </c>
      <c r="E3" s="2">
        <v>5141660195.1686401</v>
      </c>
      <c r="F3" s="2">
        <v>5270201700.0478601</v>
      </c>
      <c r="G3" s="25"/>
      <c r="I3" s="2" t="s">
        <v>2</v>
      </c>
      <c r="J3" s="57">
        <v>2.7779507454964344E-14</v>
      </c>
      <c r="L3" s="28"/>
      <c r="M3" s="28"/>
      <c r="N3" s="27"/>
    </row>
    <row r="4" spans="1:14" ht="18">
      <c r="A4" s="2" t="s">
        <v>2</v>
      </c>
      <c r="B4" s="2">
        <v>475560000</v>
      </c>
      <c r="C4" s="2">
        <v>18000000000</v>
      </c>
      <c r="D4" s="2">
        <v>9944820000</v>
      </c>
      <c r="E4" s="2">
        <v>2044800000</v>
      </c>
      <c r="F4" s="2">
        <v>12105000000</v>
      </c>
      <c r="G4" s="25"/>
      <c r="H4" s="10"/>
      <c r="I4" s="2" t="s">
        <v>15</v>
      </c>
      <c r="J4" s="57">
        <v>0</v>
      </c>
    </row>
    <row r="5" spans="1:14" ht="18">
      <c r="A5" s="2" t="s">
        <v>15</v>
      </c>
      <c r="B5" s="10">
        <v>31962</v>
      </c>
      <c r="C5" s="2">
        <v>20370000</v>
      </c>
      <c r="D5" s="2">
        <v>2100000000</v>
      </c>
      <c r="E5" s="2">
        <v>125042.4</v>
      </c>
      <c r="F5" s="2">
        <v>1451247000</v>
      </c>
      <c r="G5" s="25"/>
      <c r="H5" s="10"/>
      <c r="I5" s="2" t="s">
        <v>16</v>
      </c>
      <c r="J5" s="57">
        <v>2.7610668598571534E-12</v>
      </c>
    </row>
    <row r="6" spans="1:14" ht="18">
      <c r="A6" s="2" t="s">
        <v>16</v>
      </c>
      <c r="B6" s="10">
        <v>0</v>
      </c>
      <c r="C6" s="2">
        <v>1303400</v>
      </c>
      <c r="D6" s="2">
        <v>2428200</v>
      </c>
      <c r="E6" s="2">
        <v>1877200</v>
      </c>
      <c r="F6" s="2">
        <v>180002200</v>
      </c>
      <c r="G6" s="25"/>
      <c r="I6" s="2" t="s">
        <v>17</v>
      </c>
      <c r="J6" s="57">
        <v>4.5910611003000527E-8</v>
      </c>
    </row>
    <row r="7" spans="1:14" ht="14.4">
      <c r="A7" s="2" t="s">
        <v>17</v>
      </c>
      <c r="B7" s="2">
        <v>0</v>
      </c>
      <c r="C7" s="2">
        <v>0</v>
      </c>
      <c r="D7" s="2">
        <v>0</v>
      </c>
      <c r="E7" s="2">
        <v>0</v>
      </c>
      <c r="F7" s="2">
        <v>16482.599999999999</v>
      </c>
      <c r="H7" s="10"/>
    </row>
    <row r="8" spans="1:14" ht="14.4">
      <c r="H8" s="10"/>
    </row>
    <row r="9" spans="1:14" ht="24">
      <c r="A9" s="56" t="s">
        <v>40</v>
      </c>
      <c r="B9" s="56"/>
      <c r="C9" s="56"/>
      <c r="D9" s="56"/>
      <c r="E9" s="56"/>
      <c r="F9" s="26"/>
      <c r="H9" s="10"/>
      <c r="K9" s="1"/>
    </row>
    <row r="10" spans="1:14" ht="19.2" customHeight="1">
      <c r="B10" s="2" t="s">
        <v>0</v>
      </c>
      <c r="C10" s="2" t="s">
        <v>1</v>
      </c>
      <c r="D10" s="2" t="s">
        <v>32</v>
      </c>
      <c r="E10" s="2" t="s">
        <v>5</v>
      </c>
      <c r="F10" s="2" t="s">
        <v>33</v>
      </c>
      <c r="H10" s="10"/>
    </row>
    <row r="11" spans="1:14" ht="14.4">
      <c r="A11" s="2" t="s">
        <v>34</v>
      </c>
      <c r="B11" s="10">
        <f>B3*J2</f>
        <v>3.2925292154551431E-4</v>
      </c>
      <c r="C11" s="2">
        <f>C3*J2</f>
        <v>5.0234118240199109E-4</v>
      </c>
      <c r="D11" s="2">
        <f>D3*J2</f>
        <v>1.3044795824614906E-3</v>
      </c>
      <c r="E11" s="2">
        <f>E3*J2</f>
        <v>4.3407862585988563E-4</v>
      </c>
      <c r="F11" s="2">
        <f>F3*J2</f>
        <v>4.4493059150638311E-4</v>
      </c>
      <c r="H11" s="10"/>
      <c r="J11" s="10"/>
      <c r="K11" s="10"/>
      <c r="L11" s="10"/>
    </row>
    <row r="12" spans="1:14" ht="14.4">
      <c r="A12" s="2" t="s">
        <v>35</v>
      </c>
      <c r="B12" s="10">
        <f>B4*J3</f>
        <v>1.3210822565282844E-5</v>
      </c>
      <c r="C12" s="2">
        <f>C4*J3</f>
        <v>5.0003113418935815E-4</v>
      </c>
      <c r="D12" s="2">
        <f>D4*J3</f>
        <v>2.7626220132827853E-4</v>
      </c>
      <c r="E12" s="2">
        <f>E4*J3</f>
        <v>5.6803536843911093E-5</v>
      </c>
      <c r="F12" s="2">
        <f>F4*J3</f>
        <v>3.3627093774234336E-4</v>
      </c>
      <c r="H12" s="10"/>
      <c r="L12" s="10"/>
    </row>
    <row r="13" spans="1:14" ht="14.4">
      <c r="A13" s="2" t="s">
        <v>36</v>
      </c>
      <c r="B13" s="10">
        <f>B5*J4</f>
        <v>0</v>
      </c>
      <c r="C13" s="2">
        <f>C5*J4</f>
        <v>0</v>
      </c>
      <c r="D13" s="2">
        <f>D5*J4</f>
        <v>0</v>
      </c>
      <c r="E13" s="2">
        <f>E5*J4</f>
        <v>0</v>
      </c>
      <c r="F13" s="2">
        <f>F5*J4</f>
        <v>0</v>
      </c>
      <c r="J13" s="10"/>
      <c r="K13" s="10"/>
      <c r="L13" s="10"/>
      <c r="M13" s="10"/>
      <c r="N13" s="10"/>
    </row>
    <row r="14" spans="1:14" ht="14.4">
      <c r="A14" s="2" t="s">
        <v>37</v>
      </c>
      <c r="B14" s="10">
        <f>B6*J5</f>
        <v>0</v>
      </c>
      <c r="C14" s="2">
        <f>C6*J5</f>
        <v>3.5987745451378136E-6</v>
      </c>
      <c r="D14" s="2">
        <f>D6*J5</f>
        <v>6.7044225491051397E-6</v>
      </c>
      <c r="E14" s="2">
        <f>E6*J5</f>
        <v>5.1830747093238487E-6</v>
      </c>
      <c r="F14" s="2">
        <f>F6*J5</f>
        <v>4.9699810912137926E-4</v>
      </c>
      <c r="J14" s="10"/>
      <c r="K14" s="10"/>
      <c r="L14" s="10"/>
    </row>
    <row r="15" spans="1:14" ht="14.4">
      <c r="A15" s="2" t="s">
        <v>38</v>
      </c>
      <c r="B15" s="10">
        <f>B7*J6</f>
        <v>0</v>
      </c>
      <c r="C15" s="2">
        <f>C7*J6</f>
        <v>0</v>
      </c>
      <c r="D15" s="2">
        <f>D7*J6</f>
        <v>0</v>
      </c>
      <c r="E15" s="2">
        <f>E7*J6</f>
        <v>0</v>
      </c>
      <c r="F15" s="2">
        <f>F7*J6</f>
        <v>7.5672623691805645E-4</v>
      </c>
      <c r="L15" s="10"/>
    </row>
    <row r="16" spans="1:14">
      <c r="A16" s="3" t="s">
        <v>19</v>
      </c>
      <c r="B16" s="3">
        <f>SUM(B11:B15)</f>
        <v>3.4246374411079717E-4</v>
      </c>
      <c r="C16" s="3">
        <f t="shared" ref="C16:D16" si="0">SUM(C11:C15)</f>
        <v>1.0059710911364868E-3</v>
      </c>
      <c r="D16" s="3">
        <f t="shared" si="0"/>
        <v>1.5874462063388741E-3</v>
      </c>
      <c r="E16" s="3">
        <f t="shared" ref="E16" si="1">SUM(E11:E15)</f>
        <v>4.9606523741312059E-4</v>
      </c>
      <c r="F16" s="3">
        <f t="shared" ref="F16" si="2">SUM(F11:F15)</f>
        <v>2.0349258752881622E-3</v>
      </c>
    </row>
    <row r="18" spans="1:15" ht="28.2">
      <c r="A18" s="38" t="s">
        <v>18</v>
      </c>
      <c r="B18" s="38"/>
      <c r="C18" s="38"/>
      <c r="D18" s="38"/>
      <c r="E18" s="38"/>
      <c r="F18" s="38"/>
      <c r="G18" s="38"/>
      <c r="H18" s="38"/>
      <c r="I18" s="38"/>
    </row>
    <row r="19" spans="1:15">
      <c r="A19" s="2" t="s">
        <v>14</v>
      </c>
      <c r="B19" s="4">
        <f>B11/B16</f>
        <v>0.9614241717774108</v>
      </c>
      <c r="C19" s="4">
        <f>C11/C16</f>
        <v>0.4993594615472256</v>
      </c>
      <c r="D19" s="4">
        <f>D11/D16</f>
        <v>0.82174726756254046</v>
      </c>
      <c r="E19" s="4">
        <f>E11/E16</f>
        <v>0.87504342800458557</v>
      </c>
      <c r="F19" s="4">
        <f>F11/F16</f>
        <v>0.21864707550754264</v>
      </c>
    </row>
    <row r="20" spans="1:15">
      <c r="A20" s="2" t="s">
        <v>2</v>
      </c>
      <c r="B20" s="4">
        <f>B12/B16</f>
        <v>3.8575828222589169E-2</v>
      </c>
      <c r="C20" s="4">
        <f>C12/C16</f>
        <v>0.49706312496957783</v>
      </c>
      <c r="D20" s="4">
        <f>D12/D16</f>
        <v>0.17402933102559853</v>
      </c>
      <c r="E20" s="4">
        <f>E12/E16</f>
        <v>0.11450819884120483</v>
      </c>
      <c r="F20" s="4">
        <f>F12/F16</f>
        <v>0.16524972325821186</v>
      </c>
    </row>
    <row r="21" spans="1:15">
      <c r="A21" s="2" t="s">
        <v>15</v>
      </c>
      <c r="B21" s="4">
        <f>B13/B16</f>
        <v>0</v>
      </c>
      <c r="C21" s="4">
        <f>C13/C16</f>
        <v>0</v>
      </c>
      <c r="D21" s="4">
        <f>D13/D16</f>
        <v>0</v>
      </c>
      <c r="E21" s="4">
        <f>E13/E16</f>
        <v>0</v>
      </c>
      <c r="F21" s="4">
        <f>F13/F16</f>
        <v>0</v>
      </c>
    </row>
    <row r="22" spans="1:15">
      <c r="A22" s="2" t="s">
        <v>16</v>
      </c>
      <c r="B22" s="4">
        <f>B14/B16</f>
        <v>0</v>
      </c>
      <c r="C22" s="4">
        <f>C14/C16</f>
        <v>3.5774134831967489E-3</v>
      </c>
      <c r="D22" s="4">
        <f>D14/D16</f>
        <v>4.2234014118610946E-3</v>
      </c>
      <c r="E22" s="4">
        <f>E14/E16</f>
        <v>1.0448373154209576E-2</v>
      </c>
      <c r="F22" s="4">
        <f>F14/F16</f>
        <v>0.24423401125163846</v>
      </c>
    </row>
    <row r="23" spans="1:15">
      <c r="A23" s="2" t="s">
        <v>17</v>
      </c>
      <c r="B23" s="4">
        <f>B15/B16</f>
        <v>0</v>
      </c>
      <c r="C23" s="4">
        <f>C15/C16</f>
        <v>0</v>
      </c>
      <c r="D23" s="4">
        <f>D15/D16</f>
        <v>0</v>
      </c>
      <c r="E23" s="4">
        <f>E15/E16</f>
        <v>0</v>
      </c>
      <c r="F23" s="4">
        <f>F15/F16</f>
        <v>0.37186918998260704</v>
      </c>
    </row>
    <row r="29" spans="1:15" ht="14.4">
      <c r="M29" s="10"/>
      <c r="O29" s="10"/>
    </row>
    <row r="30" spans="1:15" ht="14.4">
      <c r="M30" s="10"/>
      <c r="O30" s="10"/>
    </row>
    <row r="31" spans="1:15" ht="14.4">
      <c r="M31" s="10"/>
      <c r="O31" s="10"/>
    </row>
    <row r="32" spans="1:15" ht="14.4">
      <c r="M32" s="10"/>
      <c r="O32" s="10"/>
    </row>
    <row r="33" spans="13:15" ht="14.4">
      <c r="M33" s="10"/>
      <c r="O33" s="10"/>
    </row>
  </sheetData>
  <mergeCells count="4">
    <mergeCell ref="A18:I18"/>
    <mergeCell ref="H1:K1"/>
    <mergeCell ref="A9:E9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Radicals Concentration Model</vt:lpstr>
      <vt:lpstr>UV.HOCl</vt:lpstr>
      <vt:lpstr>Concnetration via  UVFe(III)</vt:lpstr>
      <vt:lpstr>Proportion model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hongwj</dc:creator>
  <cp:lastModifiedBy>asif</cp:lastModifiedBy>
  <dcterms:created xsi:type="dcterms:W3CDTF">2023-08-11T12:14:40Z</dcterms:created>
  <dcterms:modified xsi:type="dcterms:W3CDTF">2026-09-08T17:58:50Z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78493749D11541E9BC81F10F4ED3773D_11</vt:lpwstr>
  </property>
  <property fmtid="{D5CDD505-2E9C-101B-9397-08002B2CF9AE}" pid="3" name="KSOProductBuildVer">
    <vt:lpwstr>2052-11.1.0.14036</vt:lpwstr>
  </property>
</Properties>
</file>